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Summary" sheetId="1" r:id="rId1"/>
    <sheet name="Test Cases" sheetId="2" r:id="rId2"/>
    <sheet name="Bug Report" sheetId="3" r:id="rId3"/>
  </sheets>
  <definedNames>
    <definedName name="_xlnm._FilterDatabase" localSheetId="2" hidden="1">'Bug Report'!$A$1:$I$13</definedName>
    <definedName name="_xlnm._FilterDatabase" localSheetId="1" hidden="1">'Test Cases'!$A$1:$G$30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" l="1"/>
  <c r="B8" i="1"/>
  <c r="E7" i="1"/>
  <c r="B7" i="1"/>
  <c r="E6" i="1"/>
  <c r="B6" i="1"/>
  <c r="E5" i="1"/>
  <c r="E8" i="1" s="1"/>
  <c r="B5" i="1"/>
  <c r="B10" i="1" s="1"/>
</calcChain>
</file>

<file path=xl/sharedStrings.xml><?xml version="1.0" encoding="utf-8"?>
<sst xmlns="http://schemas.openxmlformats.org/spreadsheetml/2006/main" count="321" uniqueCount="199">
  <si>
    <t>QA Report: Sauce Demo (sauce-demo.myshopify.com)</t>
  </si>
  <si>
    <t>Based on 9 screenshots. Results not visible in the screenshots are marked 'Not run'. Reproduce bugs before logging them.</t>
  </si>
  <si>
    <t>Test case status</t>
  </si>
  <si>
    <t>Count</t>
  </si>
  <si>
    <t>Bugs by severity</t>
  </si>
  <si>
    <t>Pass</t>
  </si>
  <si>
    <t>High</t>
  </si>
  <si>
    <t>Pass (with issue)</t>
  </si>
  <si>
    <t>Medium</t>
  </si>
  <si>
    <t>Fail</t>
  </si>
  <si>
    <t>Low</t>
  </si>
  <si>
    <t>Blocked</t>
  </si>
  <si>
    <t>Total</t>
  </si>
  <si>
    <t>Not run</t>
  </si>
  <si>
    <t>Scale</t>
  </si>
  <si>
    <t>High: money or core flow affected</t>
  </si>
  <si>
    <t>Medium: feature broken, workaround exists</t>
  </si>
  <si>
    <t>Low: cosmetic or content</t>
  </si>
  <si>
    <t>Observations</t>
  </si>
  <si>
    <t>Checkout shows test-gateway instructions (1 approved, 2 declined, 3 gateway failure). Fine for a demo, must not appear in a live store.</t>
  </si>
  <si>
    <t>Checkout validation errors are all red on load in the screenshot. Confirm they appear only after Pay now or after a field is touched; otherwise log one more Low bug.</t>
  </si>
  <si>
    <t>Prices are consistent across the product page, cart and checkout (£39.99).</t>
  </si>
  <si>
    <t>ID</t>
  </si>
  <si>
    <t>Area</t>
  </si>
  <si>
    <t>Scenario / Steps</t>
  </si>
  <si>
    <t>Expected Result</t>
  </si>
  <si>
    <t>Status</t>
  </si>
  <si>
    <t>Linked Bug</t>
  </si>
  <si>
    <t>Screenshot #</t>
  </si>
  <si>
    <t>TC-01</t>
  </si>
  <si>
    <t>Product</t>
  </si>
  <si>
    <t>Open /products/bronze-sandals</t>
  </si>
  <si>
    <t>Name, price (£39.99), image and Add to Cart are shown</t>
  </si>
  <si>
    <t>1</t>
  </si>
  <si>
    <t>TC-02</t>
  </si>
  <si>
    <t>Cart</t>
  </si>
  <si>
    <t>Click Add to Cart</t>
  </si>
  <si>
    <t>Cart count becomes (1) and the loader stops</t>
  </si>
  <si>
    <t>BUG-08</t>
  </si>
  <si>
    <t>TC-03</t>
  </si>
  <si>
    <t>Open the cart drawer</t>
  </si>
  <si>
    <t>Item, price, qty, Remove and Check Out shown; price matches product page (£39.99)</t>
  </si>
  <si>
    <t>2</t>
  </si>
  <si>
    <t>TC-04</t>
  </si>
  <si>
    <t>Change qty to 2</t>
  </si>
  <si>
    <t>Line total £79.98, subtotal updates</t>
  </si>
  <si>
    <t>TC-05</t>
  </si>
  <si>
    <t>Click Remove</t>
  </si>
  <si>
    <t>Cart shows (0) and an empty-cart message</t>
  </si>
  <si>
    <t>TC-06</t>
  </si>
  <si>
    <t>Open Striped top (apparel)</t>
  </si>
  <si>
    <t>Size/variant selector is shown</t>
  </si>
  <si>
    <t>BUG-09</t>
  </si>
  <si>
    <t>5</t>
  </si>
  <si>
    <t>TC-07</t>
  </si>
  <si>
    <t>Read the product description</t>
  </si>
  <si>
    <t>Real copy, no placeholder text or typos</t>
  </si>
  <si>
    <t>BUG-06</t>
  </si>
  <si>
    <t>TC-08</t>
  </si>
  <si>
    <t>Login</t>
  </si>
  <si>
    <t>Log in with a valid email and password</t>
  </si>
  <si>
    <t>User is logged in with no blocking popups</t>
  </si>
  <si>
    <t>BUG-04</t>
  </si>
  <si>
    <t>4</t>
  </si>
  <si>
    <t>TC-09</t>
  </si>
  <si>
    <t>Log in with a wrong password</t>
  </si>
  <si>
    <t>Clear error message</t>
  </si>
  <si>
    <t>TC-10</t>
  </si>
  <si>
    <t>Click 'Forgot your password?'</t>
  </si>
  <si>
    <t>Reset flow opens</t>
  </si>
  <si>
    <t>TC-11</t>
  </si>
  <si>
    <t>Log out</t>
  </si>
  <si>
    <t>'Log In / Sign up' is shown</t>
  </si>
  <si>
    <t>TC-12</t>
  </si>
  <si>
    <t>Address</t>
  </si>
  <si>
    <t>Open Address Book</t>
  </si>
  <si>
    <t>Address list; form opens only on 'Add new address'</t>
  </si>
  <si>
    <t>BUG-07</t>
  </si>
  <si>
    <t>TC-13</t>
  </si>
  <si>
    <t>Submit the form with required fields empty</t>
  </si>
  <si>
    <t>Validation errors</t>
  </si>
  <si>
    <t>TC-14</t>
  </si>
  <si>
    <t>Add a valid address</t>
  </si>
  <si>
    <t>Address saved and listed</t>
  </si>
  <si>
    <t>TC-15</t>
  </si>
  <si>
    <t>Cart drawer</t>
  </si>
  <si>
    <t>Open the Addresses page with an item in the cart</t>
  </si>
  <si>
    <t>Drawer is closed unless the user opened it</t>
  </si>
  <si>
    <t>BUG-05</t>
  </si>
  <si>
    <t>TC-16</t>
  </si>
  <si>
    <t>Checkout</t>
  </si>
  <si>
    <t>Check subtotal + shipping = total</t>
  </si>
  <si>
    <t>£39.99 + shipping = displayed total</t>
  </si>
  <si>
    <t>BUG-01</t>
  </si>
  <si>
    <t>3</t>
  </si>
  <si>
    <t>TC-17</t>
  </si>
  <si>
    <t>Click Pay now with empty card fields</t>
  </si>
  <si>
    <t>Inline errors on each field</t>
  </si>
  <si>
    <t>TC-18</t>
  </si>
  <si>
    <t>Pay with card number 1</t>
  </si>
  <si>
    <t>Order approved, confirmation page</t>
  </si>
  <si>
    <t>TC-19</t>
  </si>
  <si>
    <t>Pay with card number 2</t>
  </si>
  <si>
    <t>Declined message, no order created</t>
  </si>
  <si>
    <t>TC-20</t>
  </si>
  <si>
    <t>Pay with card number 3</t>
  </si>
  <si>
    <t>Gateway-failure message, no order created</t>
  </si>
  <si>
    <t>TC-21</t>
  </si>
  <si>
    <t>Enter a past expiry date or a 2-digit CVV</t>
  </si>
  <si>
    <t>Validation error</t>
  </si>
  <si>
    <t>TC-22</t>
  </si>
  <si>
    <t>Apply a valid, an invalid and an empty discount code</t>
  </si>
  <si>
    <t>Total updates, or an error is shown</t>
  </si>
  <si>
    <t>TC-23</t>
  </si>
  <si>
    <t>Navigation</t>
  </si>
  <si>
    <t>Click Wish list</t>
  </si>
  <si>
    <t>Wish list page or panel opens</t>
  </si>
  <si>
    <t>BUG-02</t>
  </si>
  <si>
    <t>6</t>
  </si>
  <si>
    <t>TC-24</t>
  </si>
  <si>
    <t>Click Refer a friend</t>
  </si>
  <si>
    <t>Referral form or panel opens</t>
  </si>
  <si>
    <t>BUG-03</t>
  </si>
  <si>
    <t>8</t>
  </si>
  <si>
    <t>TC-25</t>
  </si>
  <si>
    <t>Content</t>
  </si>
  <si>
    <t>Open About Us</t>
  </si>
  <si>
    <t>Content, nav and footer render correctly</t>
  </si>
  <si>
    <t>BUG-10</t>
  </si>
  <si>
    <t>6, 8</t>
  </si>
  <si>
    <t>TC-26</t>
  </si>
  <si>
    <t>Search</t>
  </si>
  <si>
    <t>Click Search with no keyword</t>
  </si>
  <si>
    <t>Search box or a useful prompt</t>
  </si>
  <si>
    <t>BUG-11</t>
  </si>
  <si>
    <t>9</t>
  </si>
  <si>
    <t>TC-27</t>
  </si>
  <si>
    <t>Search 'sandals', then a nonsense term</t>
  </si>
  <si>
    <t>Matching results, then a 'no results' message</t>
  </si>
  <si>
    <t>TC-28</t>
  </si>
  <si>
    <t>Blog</t>
  </si>
  <si>
    <t>Open /blogs/news.atom</t>
  </si>
  <si>
    <t>Valid feed with current posts</t>
  </si>
  <si>
    <t>BUG-12</t>
  </si>
  <si>
    <t>7</t>
  </si>
  <si>
    <t>TC-29</t>
  </si>
  <si>
    <t>Compatibility</t>
  </si>
  <si>
    <t>Check mobile and other browsers</t>
  </si>
  <si>
    <t>Layout works at all sizes</t>
  </si>
  <si>
    <t>Bug ID</t>
  </si>
  <si>
    <t>Title</t>
  </si>
  <si>
    <t>Severity</t>
  </si>
  <si>
    <t>Actual Result</t>
  </si>
  <si>
    <t>Linked Test Case</t>
  </si>
  <si>
    <t>Checkout total doesn't match its line items</t>
  </si>
  <si>
    <t>Checkout / Payment</t>
  </si>
  <si>
    <t>Subtotal is £39.99 and shipping is a grey loading placeholder, but Total shows £59.99. An unexplained £20 is charged and Pay now is still enabled.</t>
  </si>
  <si>
    <t>Shipping should be shown and calculated before payment; total = subtotal + shipping.</t>
  </si>
  <si>
    <t>Open</t>
  </si>
  <si>
    <t>Wish list link doesn't open a wish list</t>
  </si>
  <si>
    <t>Loads About Us at /pages/about-us#sauce-show-wish-list with no wish list UI.</t>
  </si>
  <si>
    <t>Wish list page or panel opens.</t>
  </si>
  <si>
    <t>Refer a friend link doesn't open a referral feature</t>
  </si>
  <si>
    <t>Loads About Us at #sauce-show-refer-friend with no referral UI.</t>
  </si>
  <si>
    <t>Referral form or panel opens.</t>
  </si>
  <si>
    <t>Shop sign-in modal blocks the classic login form</t>
  </si>
  <si>
    <t>A 'Confirm it's you' popup opens over /account/login with the email prefilled and the password blank.</t>
  </si>
  <si>
    <t>Users can log in with email and password directly.</t>
  </si>
  <si>
    <t>Cart drawer open on the Addresses page</t>
  </si>
  <si>
    <t>Cart / Address Book</t>
  </si>
  <si>
    <t>Drawer sits expanded above the address form and pushes content down; product description is cut off with 'you're…'.</t>
  </si>
  <si>
    <t>Drawer closed unless opened by the user.</t>
  </si>
  <si>
    <t>Placeholder copy and typos on Striped top</t>
  </si>
  <si>
    <t>Product content</t>
  </si>
  <si>
    <t>Theme text left in; reads '...render the product description to the write of the product images.X' (wrong word 'write', stray 'X').</t>
  </si>
  <si>
    <t>Real product description with no typos.</t>
  </si>
  <si>
    <t>Address form is already open</t>
  </si>
  <si>
    <t>Address Book</t>
  </si>
  <si>
    <t>'Add a new address' form is open on page load while an 'Add new address' button is also shown.</t>
  </si>
  <si>
    <t>Form opens only after clicking the button.</t>
  </si>
  <si>
    <t>Loader still spinning after add to cart</t>
  </si>
  <si>
    <t>Product page</t>
  </si>
  <si>
    <t>A spinner shows in the dark top bar although the cart count already updated to (1). Verify whether it gets stuck.</t>
  </si>
  <si>
    <t>Loader disappears once the item is added.</t>
  </si>
  <si>
    <t>No size or variant selector on an apparel product</t>
  </si>
  <si>
    <t>Striped top has only Add to Cart. Confirm whether sizes are required.</t>
  </si>
  <si>
    <t>Size/variant selector shown for apparel.</t>
  </si>
  <si>
    <t>Duplicate and placeholder content</t>
  </si>
  <si>
    <t>About Us / Footer</t>
  </si>
  <si>
    <t>About Us text appears twice (main and footer); footer heading is the literal word 'Footer'; Search and About Us repeated in several nav areas.</t>
  </si>
  <si>
    <t>Single, finished content and clean navigation.</t>
  </si>
  <si>
    <t>6, 8, 9</t>
  </si>
  <si>
    <t>Empty search page is a dead end</t>
  </si>
  <si>
    <t>Says 'No search performed… try our homepage' with no search box.</t>
  </si>
  <si>
    <t>Search box or helpful prompt on the page.</t>
  </si>
  <si>
    <t>Blog feed holds stale default content</t>
  </si>
  <si>
    <t>Blog feed</t>
  </si>
  <si>
    <t>Default Shopify 'First Post' from 2014; tells readers to log in to the store's admin area.</t>
  </si>
  <si>
    <t>Current, store-specific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</si>
</sst>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E7E6E6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0" customWidth="1"/>
    <col min="3" max="3" width="4" customWidth="1"/>
    <col min="4" max="4" width="22" customWidth="1"/>
    <col min="5" max="5" width="10" customWidth="1"/>
  </cols>
  <sheetData>
    <row r="1" spans="1:5" ht="18" x14ac:dyDescent="0.25">
      <c r="A1" s="3" t="s">
        <v>0</v>
      </c>
    </row>
    <row r="2" spans="1:5" ht="27.75" customHeight="1" x14ac:dyDescent="0.25">
      <c r="A2" s="2" t="s">
        <v>1</v>
      </c>
      <c r="B2" s="2"/>
      <c r="C2" s="2"/>
      <c r="D2" s="2"/>
      <c r="E2" s="2"/>
    </row>
    <row r="4" spans="1:5" x14ac:dyDescent="0.25">
      <c r="A4" s="4" t="s">
        <v>2</v>
      </c>
      <c r="B4" s="4" t="s">
        <v>3</v>
      </c>
      <c r="D4" s="4" t="s">
        <v>4</v>
      </c>
      <c r="E4" s="4" t="s">
        <v>3</v>
      </c>
    </row>
    <row r="5" spans="1:5" x14ac:dyDescent="0.25">
      <c r="A5" s="5" t="s">
        <v>5</v>
      </c>
      <c r="B5" s="5">
        <f>COUNTIF('Test Cases'!$E$2:$E$30,A5)</f>
        <v>4</v>
      </c>
      <c r="D5" s="5" t="s">
        <v>6</v>
      </c>
      <c r="E5" s="5">
        <f>COUNTIF('Bug Report'!$C$2:$C$13,D5)</f>
        <v>1</v>
      </c>
    </row>
    <row r="6" spans="1:5" x14ac:dyDescent="0.25">
      <c r="A6" s="5" t="s">
        <v>7</v>
      </c>
      <c r="B6" s="5">
        <f>COUNTIF('Test Cases'!$E$2:$E$30,A6)</f>
        <v>3</v>
      </c>
      <c r="D6" s="5" t="s">
        <v>8</v>
      </c>
      <c r="E6" s="5">
        <f>COUNTIF('Bug Report'!$C$2:$C$13,D6)</f>
        <v>3</v>
      </c>
    </row>
    <row r="7" spans="1:5" x14ac:dyDescent="0.25">
      <c r="A7" s="5" t="s">
        <v>9</v>
      </c>
      <c r="B7" s="5">
        <f>COUNTIF('Test Cases'!$E$2:$E$30,A7)</f>
        <v>8</v>
      </c>
      <c r="D7" s="5" t="s">
        <v>10</v>
      </c>
      <c r="E7" s="5">
        <f>COUNTIF('Bug Report'!$C$2:$C$13,D7)</f>
        <v>8</v>
      </c>
    </row>
    <row r="8" spans="1:5" x14ac:dyDescent="0.25">
      <c r="A8" s="5" t="s">
        <v>11</v>
      </c>
      <c r="B8" s="5">
        <f>COUNTIF('Test Cases'!$E$2:$E$30,A8)</f>
        <v>1</v>
      </c>
      <c r="D8" s="6" t="s">
        <v>12</v>
      </c>
      <c r="E8" s="6">
        <f>SUM(E5:E7)</f>
        <v>12</v>
      </c>
    </row>
    <row r="9" spans="1:5" x14ac:dyDescent="0.25">
      <c r="A9" s="5" t="s">
        <v>13</v>
      </c>
      <c r="B9" s="5">
        <f>COUNTIF('Test Cases'!$E$2:$E$30,A9)</f>
        <v>13</v>
      </c>
    </row>
    <row r="10" spans="1:5" x14ac:dyDescent="0.25">
      <c r="A10" s="6" t="s">
        <v>12</v>
      </c>
      <c r="B10" s="6">
        <f>SUM(B5:B9)</f>
        <v>29</v>
      </c>
    </row>
    <row r="12" spans="1:5" x14ac:dyDescent="0.25">
      <c r="A12" s="7" t="s">
        <v>14</v>
      </c>
    </row>
    <row r="13" spans="1:5" x14ac:dyDescent="0.25">
      <c r="A13" s="8" t="s">
        <v>15</v>
      </c>
    </row>
    <row r="14" spans="1:5" x14ac:dyDescent="0.25">
      <c r="A14" s="8" t="s">
        <v>16</v>
      </c>
    </row>
    <row r="15" spans="1:5" x14ac:dyDescent="0.25">
      <c r="A15" s="8" t="s">
        <v>17</v>
      </c>
    </row>
    <row r="17" spans="1:5" x14ac:dyDescent="0.25">
      <c r="A17" s="7" t="s">
        <v>18</v>
      </c>
    </row>
    <row r="18" spans="1:5" ht="42" customHeight="1" x14ac:dyDescent="0.25">
      <c r="A18" s="1" t="s">
        <v>19</v>
      </c>
      <c r="B18" s="1"/>
      <c r="C18" s="1"/>
      <c r="D18" s="1"/>
      <c r="E18" s="1"/>
    </row>
    <row r="19" spans="1:5" ht="42" customHeight="1" x14ac:dyDescent="0.25">
      <c r="A19" s="1" t="s">
        <v>20</v>
      </c>
      <c r="B19" s="1"/>
      <c r="C19" s="1"/>
      <c r="D19" s="1"/>
      <c r="E19" s="1"/>
    </row>
    <row r="20" spans="1:5" ht="42" customHeight="1" x14ac:dyDescent="0.25">
      <c r="A20" s="1" t="s">
        <v>21</v>
      </c>
      <c r="B20" s="1"/>
      <c r="C20" s="1"/>
      <c r="D20" s="1"/>
      <c r="E20" s="1"/>
    </row>
  </sheetData>
  <mergeCells count="4">
    <mergeCell ref="A2:E2"/>
    <mergeCell ref="A18:E18"/>
    <mergeCell ref="A19:E19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5" customWidth="1"/>
    <col min="3" max="3" width="42" customWidth="1"/>
    <col min="4" max="4" width="48" customWidth="1"/>
    <col min="5" max="5" width="18" customWidth="1"/>
    <col min="6" max="6" width="12" customWidth="1"/>
    <col min="7" max="7" width="13" customWidth="1"/>
  </cols>
  <sheetData>
    <row r="1" spans="1:7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</row>
    <row r="2" spans="1:7" ht="25.5" x14ac:dyDescent="0.25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5</v>
      </c>
      <c r="F2" s="10"/>
      <c r="G2" s="10" t="s">
        <v>33</v>
      </c>
    </row>
    <row r="3" spans="1:7" x14ac:dyDescent="0.25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7</v>
      </c>
      <c r="F3" s="10" t="s">
        <v>38</v>
      </c>
      <c r="G3" s="10" t="s">
        <v>33</v>
      </c>
    </row>
    <row r="4" spans="1:7" ht="25.5" x14ac:dyDescent="0.25">
      <c r="A4" s="10" t="s">
        <v>39</v>
      </c>
      <c r="B4" s="10" t="s">
        <v>35</v>
      </c>
      <c r="C4" s="10" t="s">
        <v>40</v>
      </c>
      <c r="D4" s="10" t="s">
        <v>41</v>
      </c>
      <c r="E4" s="10" t="s">
        <v>5</v>
      </c>
      <c r="F4" s="10"/>
      <c r="G4" s="10" t="s">
        <v>42</v>
      </c>
    </row>
    <row r="5" spans="1:7" x14ac:dyDescent="0.25">
      <c r="A5" s="10" t="s">
        <v>43</v>
      </c>
      <c r="B5" s="10" t="s">
        <v>35</v>
      </c>
      <c r="C5" s="10" t="s">
        <v>44</v>
      </c>
      <c r="D5" s="10" t="s">
        <v>45</v>
      </c>
      <c r="E5" s="10" t="s">
        <v>13</v>
      </c>
      <c r="F5" s="10"/>
      <c r="G5" s="10"/>
    </row>
    <row r="6" spans="1:7" x14ac:dyDescent="0.25">
      <c r="A6" s="10" t="s">
        <v>46</v>
      </c>
      <c r="B6" s="10" t="s">
        <v>35</v>
      </c>
      <c r="C6" s="10" t="s">
        <v>47</v>
      </c>
      <c r="D6" s="10" t="s">
        <v>48</v>
      </c>
      <c r="E6" s="10" t="s">
        <v>13</v>
      </c>
      <c r="F6" s="10"/>
      <c r="G6" s="10"/>
    </row>
    <row r="7" spans="1:7" x14ac:dyDescent="0.25">
      <c r="A7" s="10" t="s">
        <v>49</v>
      </c>
      <c r="B7" s="10" t="s">
        <v>30</v>
      </c>
      <c r="C7" s="10" t="s">
        <v>50</v>
      </c>
      <c r="D7" s="10" t="s">
        <v>51</v>
      </c>
      <c r="E7" s="10" t="s">
        <v>9</v>
      </c>
      <c r="F7" s="10" t="s">
        <v>52</v>
      </c>
      <c r="G7" s="10" t="s">
        <v>53</v>
      </c>
    </row>
    <row r="8" spans="1:7" x14ac:dyDescent="0.25">
      <c r="A8" s="10" t="s">
        <v>54</v>
      </c>
      <c r="B8" s="10" t="s">
        <v>30</v>
      </c>
      <c r="C8" s="10" t="s">
        <v>55</v>
      </c>
      <c r="D8" s="10" t="s">
        <v>56</v>
      </c>
      <c r="E8" s="10" t="s">
        <v>9</v>
      </c>
      <c r="F8" s="10" t="s">
        <v>57</v>
      </c>
      <c r="G8" s="10" t="s">
        <v>53</v>
      </c>
    </row>
    <row r="9" spans="1:7" x14ac:dyDescent="0.25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11</v>
      </c>
      <c r="F9" s="10" t="s">
        <v>62</v>
      </c>
      <c r="G9" s="10" t="s">
        <v>63</v>
      </c>
    </row>
    <row r="10" spans="1:7" x14ac:dyDescent="0.25">
      <c r="A10" s="10" t="s">
        <v>64</v>
      </c>
      <c r="B10" s="10" t="s">
        <v>59</v>
      </c>
      <c r="C10" s="10" t="s">
        <v>65</v>
      </c>
      <c r="D10" s="10" t="s">
        <v>66</v>
      </c>
      <c r="E10" s="10" t="s">
        <v>13</v>
      </c>
      <c r="F10" s="10"/>
      <c r="G10" s="10"/>
    </row>
    <row r="11" spans="1:7" x14ac:dyDescent="0.25">
      <c r="A11" s="10" t="s">
        <v>67</v>
      </c>
      <c r="B11" s="10" t="s">
        <v>59</v>
      </c>
      <c r="C11" s="10" t="s">
        <v>68</v>
      </c>
      <c r="D11" s="10" t="s">
        <v>69</v>
      </c>
      <c r="E11" s="10" t="s">
        <v>13</v>
      </c>
      <c r="F11" s="10"/>
      <c r="G11" s="10"/>
    </row>
    <row r="12" spans="1:7" x14ac:dyDescent="0.25">
      <c r="A12" s="10" t="s">
        <v>70</v>
      </c>
      <c r="B12" s="10" t="s">
        <v>59</v>
      </c>
      <c r="C12" s="10" t="s">
        <v>71</v>
      </c>
      <c r="D12" s="10" t="s">
        <v>72</v>
      </c>
      <c r="E12" s="10" t="s">
        <v>5</v>
      </c>
      <c r="F12" s="10"/>
      <c r="G12" s="10" t="s">
        <v>63</v>
      </c>
    </row>
    <row r="13" spans="1:7" x14ac:dyDescent="0.25">
      <c r="A13" s="10" t="s">
        <v>73</v>
      </c>
      <c r="B13" s="10" t="s">
        <v>74</v>
      </c>
      <c r="C13" s="10" t="s">
        <v>75</v>
      </c>
      <c r="D13" s="10" t="s">
        <v>76</v>
      </c>
      <c r="E13" s="10" t="s">
        <v>9</v>
      </c>
      <c r="F13" s="10" t="s">
        <v>77</v>
      </c>
      <c r="G13" s="10" t="s">
        <v>42</v>
      </c>
    </row>
    <row r="14" spans="1:7" x14ac:dyDescent="0.25">
      <c r="A14" s="10" t="s">
        <v>78</v>
      </c>
      <c r="B14" s="10" t="s">
        <v>74</v>
      </c>
      <c r="C14" s="10" t="s">
        <v>79</v>
      </c>
      <c r="D14" s="10" t="s">
        <v>80</v>
      </c>
      <c r="E14" s="10" t="s">
        <v>13</v>
      </c>
      <c r="F14" s="10"/>
      <c r="G14" s="10"/>
    </row>
    <row r="15" spans="1:7" x14ac:dyDescent="0.25">
      <c r="A15" s="10" t="s">
        <v>81</v>
      </c>
      <c r="B15" s="10" t="s">
        <v>74</v>
      </c>
      <c r="C15" s="10" t="s">
        <v>82</v>
      </c>
      <c r="D15" s="10" t="s">
        <v>83</v>
      </c>
      <c r="E15" s="10" t="s">
        <v>13</v>
      </c>
      <c r="F15" s="10"/>
      <c r="G15" s="10"/>
    </row>
    <row r="16" spans="1:7" ht="25.5" x14ac:dyDescent="0.25">
      <c r="A16" s="10" t="s">
        <v>84</v>
      </c>
      <c r="B16" s="10" t="s">
        <v>85</v>
      </c>
      <c r="C16" s="10" t="s">
        <v>86</v>
      </c>
      <c r="D16" s="10" t="s">
        <v>87</v>
      </c>
      <c r="E16" s="10" t="s">
        <v>9</v>
      </c>
      <c r="F16" s="10" t="s">
        <v>88</v>
      </c>
      <c r="G16" s="10" t="s">
        <v>42</v>
      </c>
    </row>
    <row r="17" spans="1:7" x14ac:dyDescent="0.25">
      <c r="A17" s="10" t="s">
        <v>89</v>
      </c>
      <c r="B17" s="10" t="s">
        <v>90</v>
      </c>
      <c r="C17" s="10" t="s">
        <v>91</v>
      </c>
      <c r="D17" s="10" t="s">
        <v>92</v>
      </c>
      <c r="E17" s="10" t="s">
        <v>9</v>
      </c>
      <c r="F17" s="10" t="s">
        <v>93</v>
      </c>
      <c r="G17" s="10" t="s">
        <v>94</v>
      </c>
    </row>
    <row r="18" spans="1:7" x14ac:dyDescent="0.25">
      <c r="A18" s="10" t="s">
        <v>95</v>
      </c>
      <c r="B18" s="10" t="s">
        <v>90</v>
      </c>
      <c r="C18" s="10" t="s">
        <v>96</v>
      </c>
      <c r="D18" s="10" t="s">
        <v>97</v>
      </c>
      <c r="E18" s="10" t="s">
        <v>5</v>
      </c>
      <c r="F18" s="10"/>
      <c r="G18" s="10" t="s">
        <v>94</v>
      </c>
    </row>
    <row r="19" spans="1:7" x14ac:dyDescent="0.25">
      <c r="A19" s="10" t="s">
        <v>98</v>
      </c>
      <c r="B19" s="10" t="s">
        <v>90</v>
      </c>
      <c r="C19" s="10" t="s">
        <v>99</v>
      </c>
      <c r="D19" s="10" t="s">
        <v>100</v>
      </c>
      <c r="E19" s="10" t="s">
        <v>13</v>
      </c>
      <c r="F19" s="10"/>
      <c r="G19" s="10"/>
    </row>
    <row r="20" spans="1:7" x14ac:dyDescent="0.25">
      <c r="A20" s="10" t="s">
        <v>101</v>
      </c>
      <c r="B20" s="10" t="s">
        <v>90</v>
      </c>
      <c r="C20" s="10" t="s">
        <v>102</v>
      </c>
      <c r="D20" s="10" t="s">
        <v>103</v>
      </c>
      <c r="E20" s="10" t="s">
        <v>13</v>
      </c>
      <c r="F20" s="10"/>
      <c r="G20" s="10"/>
    </row>
    <row r="21" spans="1:7" x14ac:dyDescent="0.25">
      <c r="A21" s="10" t="s">
        <v>104</v>
      </c>
      <c r="B21" s="10" t="s">
        <v>90</v>
      </c>
      <c r="C21" s="10" t="s">
        <v>105</v>
      </c>
      <c r="D21" s="10" t="s">
        <v>106</v>
      </c>
      <c r="E21" s="10" t="s">
        <v>13</v>
      </c>
      <c r="F21" s="10"/>
      <c r="G21" s="10"/>
    </row>
    <row r="22" spans="1:7" x14ac:dyDescent="0.25">
      <c r="A22" s="10" t="s">
        <v>107</v>
      </c>
      <c r="B22" s="10" t="s">
        <v>90</v>
      </c>
      <c r="C22" s="10" t="s">
        <v>108</v>
      </c>
      <c r="D22" s="10" t="s">
        <v>109</v>
      </c>
      <c r="E22" s="10" t="s">
        <v>13</v>
      </c>
      <c r="F22" s="10"/>
      <c r="G22" s="10"/>
    </row>
    <row r="23" spans="1:7" ht="25.5" x14ac:dyDescent="0.25">
      <c r="A23" s="10" t="s">
        <v>110</v>
      </c>
      <c r="B23" s="10" t="s">
        <v>90</v>
      </c>
      <c r="C23" s="10" t="s">
        <v>111</v>
      </c>
      <c r="D23" s="10" t="s">
        <v>112</v>
      </c>
      <c r="E23" s="10" t="s">
        <v>13</v>
      </c>
      <c r="F23" s="10"/>
      <c r="G23" s="10"/>
    </row>
    <row r="24" spans="1:7" x14ac:dyDescent="0.25">
      <c r="A24" s="10" t="s">
        <v>113</v>
      </c>
      <c r="B24" s="10" t="s">
        <v>114</v>
      </c>
      <c r="C24" s="10" t="s">
        <v>115</v>
      </c>
      <c r="D24" s="10" t="s">
        <v>116</v>
      </c>
      <c r="E24" s="10" t="s">
        <v>9</v>
      </c>
      <c r="F24" s="10" t="s">
        <v>117</v>
      </c>
      <c r="G24" s="10" t="s">
        <v>118</v>
      </c>
    </row>
    <row r="25" spans="1:7" x14ac:dyDescent="0.25">
      <c r="A25" s="10" t="s">
        <v>119</v>
      </c>
      <c r="B25" s="10" t="s">
        <v>114</v>
      </c>
      <c r="C25" s="10" t="s">
        <v>120</v>
      </c>
      <c r="D25" s="10" t="s">
        <v>121</v>
      </c>
      <c r="E25" s="10" t="s">
        <v>9</v>
      </c>
      <c r="F25" s="10" t="s">
        <v>122</v>
      </c>
      <c r="G25" s="10" t="s">
        <v>123</v>
      </c>
    </row>
    <row r="26" spans="1:7" x14ac:dyDescent="0.25">
      <c r="A26" s="10" t="s">
        <v>124</v>
      </c>
      <c r="B26" s="10" t="s">
        <v>125</v>
      </c>
      <c r="C26" s="10" t="s">
        <v>126</v>
      </c>
      <c r="D26" s="10" t="s">
        <v>127</v>
      </c>
      <c r="E26" s="10" t="s">
        <v>7</v>
      </c>
      <c r="F26" s="10" t="s">
        <v>128</v>
      </c>
      <c r="G26" s="10" t="s">
        <v>129</v>
      </c>
    </row>
    <row r="27" spans="1:7" x14ac:dyDescent="0.25">
      <c r="A27" s="10" t="s">
        <v>130</v>
      </c>
      <c r="B27" s="10" t="s">
        <v>131</v>
      </c>
      <c r="C27" s="10" t="s">
        <v>132</v>
      </c>
      <c r="D27" s="10" t="s">
        <v>133</v>
      </c>
      <c r="E27" s="10" t="s">
        <v>9</v>
      </c>
      <c r="F27" s="10" t="s">
        <v>134</v>
      </c>
      <c r="G27" s="10" t="s">
        <v>135</v>
      </c>
    </row>
    <row r="28" spans="1:7" x14ac:dyDescent="0.25">
      <c r="A28" s="10" t="s">
        <v>136</v>
      </c>
      <c r="B28" s="10" t="s">
        <v>131</v>
      </c>
      <c r="C28" s="10" t="s">
        <v>137</v>
      </c>
      <c r="D28" s="10" t="s">
        <v>138</v>
      </c>
      <c r="E28" s="10" t="s">
        <v>13</v>
      </c>
      <c r="F28" s="10"/>
      <c r="G28" s="10"/>
    </row>
    <row r="29" spans="1:7" x14ac:dyDescent="0.25">
      <c r="A29" s="10" t="s">
        <v>139</v>
      </c>
      <c r="B29" s="10" t="s">
        <v>140</v>
      </c>
      <c r="C29" s="10" t="s">
        <v>141</v>
      </c>
      <c r="D29" s="10" t="s">
        <v>142</v>
      </c>
      <c r="E29" s="10" t="s">
        <v>7</v>
      </c>
      <c r="F29" s="10" t="s">
        <v>143</v>
      </c>
      <c r="G29" s="10" t="s">
        <v>144</v>
      </c>
    </row>
    <row r="30" spans="1:7" x14ac:dyDescent="0.25">
      <c r="A30" s="10" t="s">
        <v>145</v>
      </c>
      <c r="B30" s="10" t="s">
        <v>146</v>
      </c>
      <c r="C30" s="10" t="s">
        <v>147</v>
      </c>
      <c r="D30" s="10" t="s">
        <v>148</v>
      </c>
      <c r="E30" s="10" t="s">
        <v>13</v>
      </c>
      <c r="F30" s="10"/>
      <c r="G30" s="10"/>
    </row>
  </sheetData>
  <autoFilter ref="A1:G30"/>
  <conditionalFormatting sqref="E2:E30">
    <cfRule type="cellIs" dxfId="7" priority="2" operator="equal">
      <formula>"Fail"</formula>
    </cfRule>
    <cfRule type="cellIs" dxfId="6" priority="3" operator="equal">
      <formula>"Pass"</formula>
    </cfRule>
    <cfRule type="cellIs" dxfId="5" priority="4" operator="equal">
      <formula>"Pass (with issue)"</formula>
    </cfRule>
    <cfRule type="cellIs" dxfId="4" priority="5" operator="equal">
      <formula>"Blocked"</formula>
    </cfRule>
    <cfRule type="cellIs" dxfId="3" priority="6" operator="equal">
      <formula>"Not run"</formula>
    </cfRule>
  </conditionalFormatting>
  <dataValidations count="1">
    <dataValidation type="list" sqref="E2:E30">
      <formula1>"Pass,Pass (with issue),Fail,Blocked,Not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38" customWidth="1"/>
    <col min="3" max="3" width="11" customWidth="1"/>
    <col min="4" max="4" width="20" customWidth="1"/>
    <col min="5" max="5" width="55" customWidth="1"/>
    <col min="6" max="6" width="38" customWidth="1"/>
    <col min="7" max="7" width="14" customWidth="1"/>
    <col min="8" max="8" width="13" customWidth="1"/>
    <col min="9" max="9" width="11" customWidth="1"/>
  </cols>
  <sheetData>
    <row r="1" spans="1:9" ht="25.5" x14ac:dyDescent="0.25">
      <c r="A1" s="9" t="s">
        <v>149</v>
      </c>
      <c r="B1" s="9" t="s">
        <v>150</v>
      </c>
      <c r="C1" s="9" t="s">
        <v>151</v>
      </c>
      <c r="D1" s="9" t="s">
        <v>23</v>
      </c>
      <c r="E1" s="9" t="s">
        <v>152</v>
      </c>
      <c r="F1" s="9" t="s">
        <v>25</v>
      </c>
      <c r="G1" s="9" t="s">
        <v>153</v>
      </c>
      <c r="H1" s="9" t="s">
        <v>28</v>
      </c>
      <c r="I1" s="9" t="s">
        <v>26</v>
      </c>
    </row>
    <row r="2" spans="1:9" ht="38.25" x14ac:dyDescent="0.25">
      <c r="A2" s="10" t="s">
        <v>93</v>
      </c>
      <c r="B2" s="10" t="s">
        <v>154</v>
      </c>
      <c r="C2" s="10" t="s">
        <v>6</v>
      </c>
      <c r="D2" s="10" t="s">
        <v>155</v>
      </c>
      <c r="E2" s="10" t="s">
        <v>156</v>
      </c>
      <c r="F2" s="10" t="s">
        <v>157</v>
      </c>
      <c r="G2" s="10" t="s">
        <v>89</v>
      </c>
      <c r="H2" s="10" t="s">
        <v>94</v>
      </c>
      <c r="I2" s="10" t="s">
        <v>158</v>
      </c>
    </row>
    <row r="3" spans="1:9" ht="25.5" x14ac:dyDescent="0.25">
      <c r="A3" s="10" t="s">
        <v>117</v>
      </c>
      <c r="B3" s="10" t="s">
        <v>159</v>
      </c>
      <c r="C3" s="10" t="s">
        <v>8</v>
      </c>
      <c r="D3" s="10" t="s">
        <v>114</v>
      </c>
      <c r="E3" s="10" t="s">
        <v>160</v>
      </c>
      <c r="F3" s="10" t="s">
        <v>161</v>
      </c>
      <c r="G3" s="10" t="s">
        <v>113</v>
      </c>
      <c r="H3" s="10" t="s">
        <v>118</v>
      </c>
      <c r="I3" s="10" t="s">
        <v>158</v>
      </c>
    </row>
    <row r="4" spans="1:9" ht="25.5" x14ac:dyDescent="0.25">
      <c r="A4" s="10" t="s">
        <v>122</v>
      </c>
      <c r="B4" s="10" t="s">
        <v>162</v>
      </c>
      <c r="C4" s="10" t="s">
        <v>8</v>
      </c>
      <c r="D4" s="10" t="s">
        <v>114</v>
      </c>
      <c r="E4" s="10" t="s">
        <v>163</v>
      </c>
      <c r="F4" s="10" t="s">
        <v>164</v>
      </c>
      <c r="G4" s="10" t="s">
        <v>119</v>
      </c>
      <c r="H4" s="10" t="s">
        <v>123</v>
      </c>
      <c r="I4" s="10" t="s">
        <v>158</v>
      </c>
    </row>
    <row r="5" spans="1:9" ht="25.5" x14ac:dyDescent="0.25">
      <c r="A5" s="10" t="s">
        <v>62</v>
      </c>
      <c r="B5" s="10" t="s">
        <v>165</v>
      </c>
      <c r="C5" s="10" t="s">
        <v>8</v>
      </c>
      <c r="D5" s="10" t="s">
        <v>59</v>
      </c>
      <c r="E5" s="10" t="s">
        <v>166</v>
      </c>
      <c r="F5" s="10" t="s">
        <v>167</v>
      </c>
      <c r="G5" s="10" t="s">
        <v>58</v>
      </c>
      <c r="H5" s="10" t="s">
        <v>63</v>
      </c>
      <c r="I5" s="10" t="s">
        <v>158</v>
      </c>
    </row>
    <row r="6" spans="1:9" ht="25.5" x14ac:dyDescent="0.25">
      <c r="A6" s="10" t="s">
        <v>88</v>
      </c>
      <c r="B6" s="10" t="s">
        <v>168</v>
      </c>
      <c r="C6" s="10" t="s">
        <v>10</v>
      </c>
      <c r="D6" s="10" t="s">
        <v>169</v>
      </c>
      <c r="E6" s="10" t="s">
        <v>170</v>
      </c>
      <c r="F6" s="10" t="s">
        <v>171</v>
      </c>
      <c r="G6" s="10" t="s">
        <v>84</v>
      </c>
      <c r="H6" s="10" t="s">
        <v>42</v>
      </c>
      <c r="I6" s="10" t="s">
        <v>158</v>
      </c>
    </row>
    <row r="7" spans="1:9" ht="25.5" x14ac:dyDescent="0.25">
      <c r="A7" s="10" t="s">
        <v>57</v>
      </c>
      <c r="B7" s="10" t="s">
        <v>172</v>
      </c>
      <c r="C7" s="10" t="s">
        <v>10</v>
      </c>
      <c r="D7" s="10" t="s">
        <v>173</v>
      </c>
      <c r="E7" s="10" t="s">
        <v>174</v>
      </c>
      <c r="F7" s="10" t="s">
        <v>175</v>
      </c>
      <c r="G7" s="10" t="s">
        <v>54</v>
      </c>
      <c r="H7" s="10" t="s">
        <v>53</v>
      </c>
      <c r="I7" s="10" t="s">
        <v>158</v>
      </c>
    </row>
    <row r="8" spans="1:9" ht="25.5" x14ac:dyDescent="0.25">
      <c r="A8" s="10" t="s">
        <v>77</v>
      </c>
      <c r="B8" s="10" t="s">
        <v>176</v>
      </c>
      <c r="C8" s="10" t="s">
        <v>10</v>
      </c>
      <c r="D8" s="10" t="s">
        <v>177</v>
      </c>
      <c r="E8" s="10" t="s">
        <v>178</v>
      </c>
      <c r="F8" s="10" t="s">
        <v>179</v>
      </c>
      <c r="G8" s="10" t="s">
        <v>73</v>
      </c>
      <c r="H8" s="10" t="s">
        <v>42</v>
      </c>
      <c r="I8" s="10" t="s">
        <v>158</v>
      </c>
    </row>
    <row r="9" spans="1:9" ht="25.5" x14ac:dyDescent="0.25">
      <c r="A9" s="10" t="s">
        <v>38</v>
      </c>
      <c r="B9" s="10" t="s">
        <v>180</v>
      </c>
      <c r="C9" s="10" t="s">
        <v>10</v>
      </c>
      <c r="D9" s="10" t="s">
        <v>181</v>
      </c>
      <c r="E9" s="10" t="s">
        <v>182</v>
      </c>
      <c r="F9" s="10" t="s">
        <v>183</v>
      </c>
      <c r="G9" s="10" t="s">
        <v>34</v>
      </c>
      <c r="H9" s="10" t="s">
        <v>33</v>
      </c>
      <c r="I9" s="10" t="s">
        <v>158</v>
      </c>
    </row>
    <row r="10" spans="1:9" ht="25.5" x14ac:dyDescent="0.25">
      <c r="A10" s="10" t="s">
        <v>52</v>
      </c>
      <c r="B10" s="10" t="s">
        <v>184</v>
      </c>
      <c r="C10" s="10" t="s">
        <v>10</v>
      </c>
      <c r="D10" s="10" t="s">
        <v>181</v>
      </c>
      <c r="E10" s="10" t="s">
        <v>185</v>
      </c>
      <c r="F10" s="10" t="s">
        <v>186</v>
      </c>
      <c r="G10" s="10" t="s">
        <v>49</v>
      </c>
      <c r="H10" s="10" t="s">
        <v>53</v>
      </c>
      <c r="I10" s="10" t="s">
        <v>158</v>
      </c>
    </row>
    <row r="11" spans="1:9" ht="38.25" x14ac:dyDescent="0.25">
      <c r="A11" s="10" t="s">
        <v>128</v>
      </c>
      <c r="B11" s="10" t="s">
        <v>187</v>
      </c>
      <c r="C11" s="10" t="s">
        <v>10</v>
      </c>
      <c r="D11" s="10" t="s">
        <v>188</v>
      </c>
      <c r="E11" s="10" t="s">
        <v>189</v>
      </c>
      <c r="F11" s="10" t="s">
        <v>190</v>
      </c>
      <c r="G11" s="10" t="s">
        <v>124</v>
      </c>
      <c r="H11" s="10" t="s">
        <v>191</v>
      </c>
      <c r="I11" s="10" t="s">
        <v>158</v>
      </c>
    </row>
    <row r="12" spans="1:9" ht="25.5" x14ac:dyDescent="0.25">
      <c r="A12" s="10" t="s">
        <v>134</v>
      </c>
      <c r="B12" s="10" t="s">
        <v>192</v>
      </c>
      <c r="C12" s="10" t="s">
        <v>10</v>
      </c>
      <c r="D12" s="10" t="s">
        <v>131</v>
      </c>
      <c r="E12" s="10" t="s">
        <v>193</v>
      </c>
      <c r="F12" s="10" t="s">
        <v>194</v>
      </c>
      <c r="G12" s="10" t="s">
        <v>130</v>
      </c>
      <c r="H12" s="10" t="s">
        <v>135</v>
      </c>
      <c r="I12" s="10" t="s">
        <v>158</v>
      </c>
    </row>
    <row r="13" spans="1:9" ht="25.5" x14ac:dyDescent="0.25">
      <c r="A13" s="10" t="s">
        <v>143</v>
      </c>
      <c r="B13" s="10" t="s">
        <v>195</v>
      </c>
      <c r="C13" s="10" t="s">
        <v>10</v>
      </c>
      <c r="D13" s="10" t="s">
        <v>196</v>
      </c>
      <c r="E13" s="10" t="s">
        <v>197</v>
      </c>
      <c r="F13" s="10" t="s">
        <v>198</v>
      </c>
      <c r="G13" s="10" t="s">
        <v>139</v>
      </c>
      <c r="H13" s="10" t="s">
        <v>144</v>
      </c>
      <c r="I13" s="10" t="s">
        <v>158</v>
      </c>
    </row>
  </sheetData>
  <autoFilter ref="A1:I13"/>
  <conditionalFormatting sqref="C2:C13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dataValidations count="2">
    <dataValidation type="list" sqref="C2:C13">
      <formula1>"High,Medium,Low"</formula1>
      <formula2>0</formula2>
    </dataValidation>
    <dataValidation type="list" sqref="I2:I13">
      <formula1>"Open,In progress,Fixed,Verified,Won't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moiz</cp:lastModifiedBy>
  <cp:revision>0</cp:revision>
  <dcterms:created xsi:type="dcterms:W3CDTF">2026-10-13T13:14:59Z</dcterms:created>
  <dcterms:modified xsi:type="dcterms:W3CDTF">2026-10-13T13:20:31Z</dcterms:modified>
  <dc:language>en-US</dc:language>
</cp:coreProperties>
</file>